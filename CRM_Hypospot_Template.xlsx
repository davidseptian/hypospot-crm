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Hypospo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📖 Pand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993C1D"/>
      <sz val="10"/>
    </font>
    <font>
      <name val="Arial"/>
      <b val="1"/>
      <color rgb="00854F0B"/>
      <sz val="10"/>
    </font>
    <font>
      <name val="Arial"/>
      <b val="1"/>
      <color rgb="003B6D11"/>
      <sz val="10"/>
    </font>
    <font>
      <name val="Arial"/>
      <b val="1"/>
      <color rgb="00534AB7"/>
      <sz val="10"/>
    </font>
    <font>
      <name val="Arial"/>
      <b val="1"/>
      <color rgb="00185FA5"/>
      <sz val="10"/>
    </font>
    <font>
      <name val="Arial"/>
      <b val="1"/>
      <color rgb="00FFFFFF"/>
      <sz val="14"/>
    </font>
    <font>
      <name val="Arial"/>
      <color rgb="00888780"/>
      <sz val="10"/>
    </font>
    <font>
      <name val="Arial"/>
      <color rgb="005F5E5A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1A"/>
      <sz val="10"/>
    </font>
    <font>
      <name val="Arial"/>
      <color rgb="00444441"/>
      <sz val="10"/>
    </font>
  </fonts>
  <fills count="13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C2C2A"/>
      </patternFill>
    </fill>
    <fill>
      <patternFill patternType="solid">
        <fgColor rgb="00FFFFFF"/>
      </patternFill>
    </fill>
    <fill>
      <patternFill patternType="solid">
        <fgColor rgb="00FAECE7"/>
      </patternFill>
    </fill>
    <fill>
      <patternFill patternType="solid">
        <fgColor rgb="00F5F4F0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EEEDFE"/>
      </patternFill>
    </fill>
    <fill>
      <patternFill patternType="solid">
        <fgColor rgb="00E6F1FB"/>
      </patternFill>
    </fill>
    <fill>
      <patternFill patternType="solid">
        <fgColor rgb="00B8860B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Arial"/>
        <b val="1"/>
        <color rgb="00993C1D"/>
        <sz val="10"/>
      </font>
      <fill>
        <patternFill patternType="solid">
          <fgColor rgb="00FAECE7"/>
        </patternFill>
      </fill>
    </dxf>
    <dxf>
      <font>
        <name val="Arial"/>
        <b val="1"/>
        <color rgb="00854F0B"/>
        <sz val="10"/>
      </font>
      <fill>
        <patternFill patternType="solid">
          <fgColor rgb="00FAEEDA"/>
        </patternFill>
      </fill>
    </dxf>
    <dxf>
      <font>
        <name val="Arial"/>
        <b val="1"/>
        <color rgb="00185FA5"/>
        <sz val="10"/>
      </font>
      <fill>
        <patternFill patternType="solid">
          <fgColor rgb="00E6F1FB"/>
        </patternFill>
      </fill>
    </dxf>
    <dxf>
      <font>
        <name val="Arial"/>
        <b val="1"/>
        <color rgb="003B6D11"/>
        <sz val="10"/>
      </font>
      <fill>
        <patternFill patternType="solid">
          <fgColor rgb="00EAF3DE"/>
        </patternFill>
      </fill>
    </dxf>
    <dxf>
      <font>
        <name val="Arial"/>
        <b val="1"/>
        <color rgb="00534AB7"/>
        <sz val="10"/>
      </font>
      <fill>
        <patternFill patternType="solid">
          <fgColor rgb="00EEEDFE"/>
        </patternFill>
      </fill>
    </dxf>
    <dxf>
      <font>
        <name val="Arial"/>
        <b val="1"/>
        <color rgb="00A32D2D"/>
        <sz val="10"/>
      </font>
      <fill>
        <patternFill patternType="solid">
          <fgColor rgb="00FCEBEB"/>
        </patternFill>
      </fill>
    </dxf>
    <dxf>
      <font>
        <name val="Arial"/>
        <color rgb="00A32D2D"/>
        <sz val="10"/>
      </font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O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4" customWidth="1" min="4" max="4"/>
    <col width="16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3" customWidth="1" min="11" max="11"/>
    <col width="14" customWidth="1" min="12" max="12"/>
    <col width="16" customWidth="1" min="13" max="13"/>
    <col width="30" customWidth="1" min="14" max="14"/>
    <col width="14" customWidth="1" min="15" max="15"/>
  </cols>
  <sheetData>
    <row r="1" ht="36" customHeight="1">
      <c r="A1" s="1" t="inlineStr">
        <is>
          <t>📋  CRM HYPOSPOT SHOES CARE  —  Customer Relationship Management</t>
        </is>
      </c>
    </row>
    <row r="2" ht="32" customHeight="1">
      <c r="A2" s="2" t="inlineStr">
        <is>
          <t>NO</t>
        </is>
      </c>
      <c r="B2" s="2" t="inlineStr">
        <is>
          <t>NAMA CUSTOMER</t>
        </is>
      </c>
      <c r="C2" s="2" t="inlineStr">
        <is>
          <t>NO. WHATSAPP</t>
        </is>
      </c>
      <c r="D2" s="2" t="inlineStr">
        <is>
          <t>PLATFORM</t>
        </is>
      </c>
      <c r="E2" s="2" t="inlineStr">
        <is>
          <t>STATUS PROSPEK</t>
        </is>
      </c>
      <c r="F2" s="2" t="inlineStr">
        <is>
          <t>PRODUK/INTEREST</t>
        </is>
      </c>
      <c r="G2" s="2" t="inlineStr">
        <is>
          <t>PRODUK CROSS-SELL</t>
        </is>
      </c>
      <c r="H2" s="2" t="inlineStr">
        <is>
          <t>TGL MASUK</t>
        </is>
      </c>
      <c r="I2" s="2" t="inlineStr">
        <is>
          <t>JADWAL FU</t>
        </is>
      </c>
      <c r="J2" s="2" t="inlineStr">
        <is>
          <t>PRIORITAS FU</t>
        </is>
      </c>
      <c r="K2" s="2" t="inlineStr">
        <is>
          <t>LAST CONTACT</t>
        </is>
      </c>
      <c r="L2" s="2" t="inlineStr">
        <is>
          <t>FREKUENSI BELI</t>
        </is>
      </c>
      <c r="M2" s="2" t="inlineStr">
        <is>
          <t>EST. VALUE (Rp)</t>
        </is>
      </c>
      <c r="N2" s="2" t="inlineStr">
        <is>
          <t>CATATAN ADMIN</t>
        </is>
      </c>
      <c r="O2" s="2" t="inlineStr">
        <is>
          <t>STATUS UPDATE</t>
        </is>
      </c>
    </row>
    <row r="3">
      <c r="A3" s="3" t="n">
        <v>1</v>
      </c>
      <c r="B3" s="3" t="inlineStr">
        <is>
          <t>Budi Santoso</t>
        </is>
      </c>
      <c r="C3" s="3" t="inlineStr">
        <is>
          <t>081234567890</t>
        </is>
      </c>
      <c r="D3" s="3" t="inlineStr">
        <is>
          <t>Shopee</t>
        </is>
      </c>
      <c r="E3" s="4" t="inlineStr">
        <is>
          <t>Hot</t>
        </is>
      </c>
      <c r="F3" s="3" t="inlineStr">
        <is>
          <t>Shoe Cleaner Premium</t>
        </is>
      </c>
      <c r="G3" s="3" t="inlineStr">
        <is>
          <t>Brush Set + Waterproof</t>
        </is>
      </c>
      <c r="H3" s="5" t="inlineStr">
        <is>
          <t>2026-06-01</t>
        </is>
      </c>
      <c r="I3" s="5" t="inlineStr">
        <is>
          <t>2026-06-20</t>
        </is>
      </c>
      <c r="J3" s="3" t="inlineStr">
        <is>
          <t>Besok</t>
        </is>
      </c>
      <c r="K3" s="5" t="inlineStr">
        <is>
          <t>2026-06-15</t>
        </is>
      </c>
      <c r="L3" s="3" t="inlineStr">
        <is>
          <t>3x</t>
        </is>
      </c>
      <c r="M3" s="6" t="inlineStr">
        <is>
          <t>185000</t>
        </is>
      </c>
      <c r="N3" s="3" t="inlineStr">
        <is>
          <t>Minta diskon, interested produk bundle</t>
        </is>
      </c>
      <c r="O3" s="3" t="inlineStr">
        <is>
          <t>Aktif</t>
        </is>
      </c>
    </row>
    <row r="4">
      <c r="A4" s="7" t="n">
        <v>2</v>
      </c>
      <c r="B4" s="7" t="inlineStr">
        <is>
          <t>Siti Rahma</t>
        </is>
      </c>
      <c r="C4" s="7" t="inlineStr">
        <is>
          <t>085678901234</t>
        </is>
      </c>
      <c r="D4" s="7" t="inlineStr">
        <is>
          <t>TikTok Shop</t>
        </is>
      </c>
      <c r="E4" s="8" t="inlineStr">
        <is>
          <t>Warm</t>
        </is>
      </c>
      <c r="F4" s="7" t="inlineStr">
        <is>
          <t>Sneaker Cleaner</t>
        </is>
      </c>
      <c r="G4" s="7" t="inlineStr">
        <is>
          <t>Deodorizer Spray</t>
        </is>
      </c>
      <c r="H4" s="9" t="inlineStr">
        <is>
          <t>2026-06-05</t>
        </is>
      </c>
      <c r="I4" s="9" t="inlineStr">
        <is>
          <t>2026-06-26</t>
        </is>
      </c>
      <c r="J4" s="7" t="inlineStr">
        <is>
          <t>Minggu Ini</t>
        </is>
      </c>
      <c r="K4" s="9" t="inlineStr">
        <is>
          <t>2026-06-10</t>
        </is>
      </c>
      <c r="L4" s="7" t="inlineStr">
        <is>
          <t>1x</t>
        </is>
      </c>
      <c r="M4" s="10" t="inlineStr">
        <is>
          <t>75000</t>
        </is>
      </c>
      <c r="N4" s="7" t="inlineStr">
        <is>
          <t>Tanya stok warna putih</t>
        </is>
      </c>
      <c r="O4" s="7" t="inlineStr">
        <is>
          <t>Aktif</t>
        </is>
      </c>
    </row>
    <row r="5">
      <c r="A5" s="3" t="n">
        <v>3</v>
      </c>
      <c r="B5" s="3" t="inlineStr">
        <is>
          <t>Ahmad Fauzi</t>
        </is>
      </c>
      <c r="C5" s="3" t="inlineStr">
        <is>
          <t>087890123456</t>
        </is>
      </c>
      <c r="D5" s="3" t="inlineStr">
        <is>
          <t>Tokopedia</t>
        </is>
      </c>
      <c r="E5" s="11" t="inlineStr">
        <is>
          <t>Cross-sell</t>
        </is>
      </c>
      <c r="F5" s="3" t="inlineStr">
        <is>
          <t>Brush Set</t>
        </is>
      </c>
      <c r="G5" s="3" t="inlineStr">
        <is>
          <t>Conditioner Leather + Polish</t>
        </is>
      </c>
      <c r="H5" s="5" t="inlineStr">
        <is>
          <t>2026-05-20</t>
        </is>
      </c>
      <c r="I5" s="5" t="inlineStr">
        <is>
          <t>2026-07-01</t>
        </is>
      </c>
      <c r="J5" s="3" t="inlineStr">
        <is>
          <t>Bulan Ini</t>
        </is>
      </c>
      <c r="K5" s="5" t="inlineStr">
        <is>
          <t>2026-06-01</t>
        </is>
      </c>
      <c r="L5" s="3" t="inlineStr">
        <is>
          <t>5x</t>
        </is>
      </c>
      <c r="M5" s="6" t="inlineStr">
        <is>
          <t>320000</t>
        </is>
      </c>
      <c r="N5" s="3" t="inlineStr">
        <is>
          <t>Pelanggan loyal, suka produk premium</t>
        </is>
      </c>
      <c r="O5" s="3" t="inlineStr">
        <is>
          <t>Aktif</t>
        </is>
      </c>
    </row>
    <row r="6">
      <c r="A6" s="7" t="n">
        <v>4</v>
      </c>
      <c r="B6" s="7" t="inlineStr">
        <is>
          <t>Dewi Lestari</t>
        </is>
      </c>
      <c r="C6" s="7" t="inlineStr">
        <is>
          <t>081122334455</t>
        </is>
      </c>
      <c r="D6" s="7" t="inlineStr">
        <is>
          <t>WhatsApp Langsung</t>
        </is>
      </c>
      <c r="E6" s="12" t="inlineStr">
        <is>
          <t>Follow-up</t>
        </is>
      </c>
      <c r="F6" s="7" t="inlineStr">
        <is>
          <t>Waterproof Spray</t>
        </is>
      </c>
      <c r="G6" s="7" t="inlineStr">
        <is>
          <t>Cleaning Kit Bundle</t>
        </is>
      </c>
      <c r="H6" s="9" t="inlineStr">
        <is>
          <t>2026-06-10</t>
        </is>
      </c>
      <c r="I6" s="9" t="inlineStr">
        <is>
          <t>2026-06-25</t>
        </is>
      </c>
      <c r="J6" s="7" t="inlineStr">
        <is>
          <t>Minggu Ini</t>
        </is>
      </c>
      <c r="K6" s="9" t="inlineStr">
        <is>
          <t>2026-06-10</t>
        </is>
      </c>
      <c r="L6" s="7" t="inlineStr">
        <is>
          <t>2x</t>
        </is>
      </c>
      <c r="M6" s="10" t="inlineStr">
        <is>
          <t>150000</t>
        </is>
      </c>
      <c r="N6" s="7" t="inlineStr">
        <is>
          <t>Sudah pernah beli, minta restock info</t>
        </is>
      </c>
      <c r="O6" s="7" t="inlineStr">
        <is>
          <t>Aktif</t>
        </is>
      </c>
    </row>
    <row r="7">
      <c r="A7" s="3" t="n">
        <v>5</v>
      </c>
      <c r="B7" s="3" t="inlineStr">
        <is>
          <t>Reza Pratama</t>
        </is>
      </c>
      <c r="C7" s="3" t="inlineStr">
        <is>
          <t>082233445566</t>
        </is>
      </c>
      <c r="D7" s="3" t="inlineStr">
        <is>
          <t>Offline / B2B</t>
        </is>
      </c>
      <c r="E7" s="13" t="inlineStr">
        <is>
          <t>Cold</t>
        </is>
      </c>
      <c r="F7" s="3" t="inlineStr">
        <is>
          <t>Shoe Polish</t>
        </is>
      </c>
      <c r="G7" s="3" t="inlineStr">
        <is>
          <t>—</t>
        </is>
      </c>
      <c r="H7" s="5" t="inlineStr">
        <is>
          <t>2026-06-15</t>
        </is>
      </c>
      <c r="I7" s="5" t="inlineStr">
        <is>
          <t>2026-07-15</t>
        </is>
      </c>
      <c r="J7" s="3" t="inlineStr">
        <is>
          <t>Bulan Ini</t>
        </is>
      </c>
      <c r="K7" s="5" t="inlineStr">
        <is>
          <t>2026-06-15</t>
        </is>
      </c>
      <c r="L7" s="3" t="inlineStr">
        <is>
          <t>1x</t>
        </is>
      </c>
      <c r="M7" s="6" t="inlineStr">
        <is>
          <t>50000</t>
        </is>
      </c>
      <c r="N7" s="3" t="inlineStr">
        <is>
          <t>Baru kenal produk, masih compare harga</t>
        </is>
      </c>
      <c r="O7" s="3" t="inlineStr">
        <is>
          <t>Aktif</t>
        </is>
      </c>
    </row>
  </sheetData>
  <mergeCells count="1">
    <mergeCell ref="A1:O1"/>
  </mergeCells>
  <conditionalFormatting sqref="E3:E500">
    <cfRule type="cellIs" priority="1" operator="equal" dxfId="0">
      <formula>"Hot"</formula>
    </cfRule>
    <cfRule type="cellIs" priority="2" operator="equal" dxfId="1">
      <formula>"Warm"</formula>
    </cfRule>
    <cfRule type="cellIs" priority="3" operator="equal" dxfId="2">
      <formula>"Cold"</formula>
    </cfRule>
    <cfRule type="cellIs" priority="4" operator="equal" dxfId="3">
      <formula>"Cross-sell"</formula>
    </cfRule>
    <cfRule type="cellIs" priority="5" operator="equal" dxfId="4">
      <formula>"Follow-up"</formula>
    </cfRule>
    <cfRule type="cellIs" priority="6" operator="equal" dxfId="5">
      <formula>"Lost"</formula>
    </cfRule>
  </conditionalFormatting>
  <conditionalFormatting sqref="A3:O500">
    <cfRule type="expression" priority="7" dxfId="6">
      <formula>=AND($I3&lt;TODAY(),$I3&lt;&gt;"",$J3&lt;&gt;"Sudah FU")</formula>
    </cfRule>
  </conditionalFormatting>
  <dataValidations count="4">
    <dataValidation sqref="E3:E500" showDropDown="0" showInputMessage="0" showErrorMessage="0" allowBlank="1" errorTitle="Status tidak valid" error="Pilih dari daftar: Hot, Warm, Cold, Follow-up, Cross-sell, Lost" type="list">
      <formula1>"Hot,Warm,Cold,Follow-up,Cross-sell,Lost"</formula1>
    </dataValidation>
    <dataValidation sqref="D3:D500" showDropDown="0" showInputMessage="0" showErrorMessage="0" allowBlank="1" type="list">
      <formula1>"Shopee,TikTok Shop,Tokopedia,WhatsApp Langsung,Offline / B2B"</formula1>
    </dataValidation>
    <dataValidation sqref="J3:J500" showDropDown="0" showInputMessage="0" showErrorMessage="0" allowBlank="1" type="list">
      <formula1>"Hari Ini,Besok,Minggu Ini,Bulan Ini,Sudah FU"</formula1>
    </dataValidation>
    <dataValidation sqref="O3:O500" showDropDown="0" showInputMessage="0" showErrorMessage="0" allowBlank="1" type="list">
      <formula1>"Aktif,Selesai,Ditahan,Dihapus"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860B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 ht="40" customHeight="1">
      <c r="A1" s="14" t="inlineStr">
        <is>
          <t>DASHBOARD CRM — HYPOSPOT SHOES CARE</t>
        </is>
      </c>
    </row>
    <row r="2" ht="22" customHeight="1">
      <c r="A2" s="15" t="inlineStr">
        <is>
          <t>Auto-generated | Update: 19 June 2026</t>
        </is>
      </c>
    </row>
    <row r="4" ht="28" customHeight="1">
      <c r="A4" s="2" t="inlineStr">
        <is>
          <t>METRIK</t>
        </is>
      </c>
      <c r="B4" s="2" t="inlineStr">
        <is>
          <t>JUMLAH</t>
        </is>
      </c>
      <c r="C4" s="2" t="inlineStr">
        <is>
          <t>KETERANGAN</t>
        </is>
      </c>
    </row>
    <row r="5" ht="26" customHeight="1">
      <c r="A5" s="3" t="inlineStr">
        <is>
          <t>Total Customer</t>
        </is>
      </c>
      <c r="B5" s="16">
        <f>COUNTA(CRM_Hypospot!B3:B500)</f>
        <v/>
      </c>
      <c r="C5" s="17" t="inlineStr">
        <is>
          <t>Semua customer terdaftar</t>
        </is>
      </c>
    </row>
    <row r="6" ht="26" customHeight="1">
      <c r="A6" s="7" t="inlineStr">
        <is>
          <t>🔥 Hot Prospect</t>
        </is>
      </c>
      <c r="B6" s="18">
        <f>COUNTIF(CRM_Hypospot!E3:E500,"Hot")</f>
        <v/>
      </c>
      <c r="C6" s="19" t="inlineStr">
        <is>
          <t>Siap beli, prioritas tertinggi</t>
        </is>
      </c>
    </row>
    <row r="7" ht="26" customHeight="1">
      <c r="A7" s="3" t="inlineStr">
        <is>
          <t>Warm Prospect</t>
        </is>
      </c>
      <c r="B7" s="16">
        <f>COUNTIF(CRM_Hypospot!E3:E500,"Warm")</f>
        <v/>
      </c>
      <c r="C7" s="17" t="inlineStr">
        <is>
          <t>Tertarik, perlu nurture</t>
        </is>
      </c>
    </row>
    <row r="8" ht="26" customHeight="1">
      <c r="A8" s="7" t="inlineStr">
        <is>
          <t>Cold Prospect</t>
        </is>
      </c>
      <c r="B8" s="18">
        <f>COUNTIF(CRM_Hypospot!E3:E500,"Cold")</f>
        <v/>
      </c>
      <c r="C8" s="19" t="inlineStr">
        <is>
          <t>Masih riset / belum yakin</t>
        </is>
      </c>
    </row>
    <row r="9" ht="26" customHeight="1">
      <c r="A9" s="3" t="inlineStr">
        <is>
          <t>Follow-up Needed</t>
        </is>
      </c>
      <c r="B9" s="16">
        <f>COUNTIF(CRM_Hypospot!E3:E500,"Follow-up")</f>
        <v/>
      </c>
      <c r="C9" s="17" t="inlineStr">
        <is>
          <t>Pernah beli, perlu di-follow</t>
        </is>
      </c>
    </row>
    <row r="10" ht="26" customHeight="1">
      <c r="A10" s="7" t="inlineStr">
        <is>
          <t>Cross-sell Ready</t>
        </is>
      </c>
      <c r="B10" s="18">
        <f>COUNTIF(CRM_Hypospot!E3:E500,"Cross-sell")</f>
        <v/>
      </c>
      <c r="C10" s="19" t="inlineStr">
        <is>
          <t>Siap ditawarkan produk lain</t>
        </is>
      </c>
    </row>
    <row r="11" ht="26" customHeight="1">
      <c r="A11" s="3" t="inlineStr">
        <is>
          <t>Lost</t>
        </is>
      </c>
      <c r="B11" s="16">
        <f>COUNTIF(CRM_Hypospot!E3:E500,"Lost")</f>
        <v/>
      </c>
      <c r="C11" s="17" t="inlineStr">
        <is>
          <t>Tidak jadi / tidak responsif</t>
        </is>
      </c>
    </row>
    <row r="12" ht="26" customHeight="1">
      <c r="A12" s="7" t="inlineStr">
        <is>
          <t>FU Hari Ini / Besok</t>
        </is>
      </c>
      <c r="B12" s="18">
        <f>COUNTIFS(CRM_Hypospot!J3:J500,"Hari Ini")+COUNTIFS(CRM_Hypospot!J3:J500,"Besok")</f>
        <v/>
      </c>
      <c r="C12" s="19" t="inlineStr">
        <is>
          <t>Prioritas follow-up segera</t>
        </is>
      </c>
    </row>
    <row r="13" ht="26" customHeight="1">
      <c r="A13" s="3" t="inlineStr">
        <is>
          <t>FU Minggu Ini</t>
        </is>
      </c>
      <c r="B13" s="16">
        <f>COUNTIF(CRM_Hypospot!J3:J500,"Minggu Ini")</f>
        <v/>
      </c>
      <c r="C13" s="17" t="inlineStr">
        <is>
          <t>Follow-up dalam 7 hari</t>
        </is>
      </c>
    </row>
    <row r="14" ht="26" customHeight="1">
      <c r="A14" s="7" t="inlineStr">
        <is>
          <t>FU Bulan Ini</t>
        </is>
      </c>
      <c r="B14" s="18">
        <f>COUNTIF(CRM_Hypospot!J3:J500,"Bulan Ini")</f>
        <v/>
      </c>
      <c r="C14" s="19" t="inlineStr">
        <is>
          <t>Follow-up dalam 30 hari</t>
        </is>
      </c>
    </row>
    <row r="15" ht="26" customHeight="1">
      <c r="A15" s="3" t="inlineStr">
        <is>
          <t>Est. Total Pipeline</t>
        </is>
      </c>
      <c r="B15" s="20">
        <f>SUMIF(CRM_Hypospot!O3:O500,"Aktif",CRM_Hypospot!M3:M500)</f>
        <v/>
      </c>
      <c r="C15" s="17" t="inlineStr">
        <is>
          <t>Total estimasi nilai pipeline aktif</t>
        </is>
      </c>
    </row>
    <row r="16" ht="26" customHeight="1">
      <c r="A16" s="7" t="inlineStr">
        <is>
          <t>Avg. Est. Value</t>
        </is>
      </c>
      <c r="B16" s="21">
        <f>IFERROR(AVERAGEIF(CRM_Hypospot!O3:O500,"Aktif",CRM_Hypospot!M3:M500),0)</f>
        <v/>
      </c>
      <c r="C16" s="19" t="inlineStr">
        <is>
          <t>Rata-rata nilai per customer</t>
        </is>
      </c>
    </row>
    <row r="18">
      <c r="A18" s="22" t="inlineStr">
        <is>
          <t>BREAKDOWN PER PLATFORM</t>
        </is>
      </c>
    </row>
    <row r="19" ht="28" customHeight="1">
      <c r="A19" s="2" t="inlineStr">
        <is>
          <t>Platform</t>
        </is>
      </c>
      <c r="B19" s="2" t="inlineStr">
        <is>
          <t>Jumlah</t>
        </is>
      </c>
      <c r="C19" s="2" t="inlineStr">
        <is>
          <t>% dari Total</t>
        </is>
      </c>
    </row>
    <row r="20" ht="24" customHeight="1">
      <c r="A20" s="7" t="inlineStr">
        <is>
          <t>Shopee</t>
        </is>
      </c>
      <c r="B20" s="18">
        <f>COUNTIF(CRM_Hypospot!D3:D500,"Shopee")</f>
        <v/>
      </c>
      <c r="C20" s="23">
        <f>IFERROR(B20/B5,0)</f>
        <v/>
      </c>
    </row>
    <row r="21" ht="24" customHeight="1">
      <c r="A21" s="3" t="inlineStr">
        <is>
          <t>TikTok Shop</t>
        </is>
      </c>
      <c r="B21" s="16">
        <f>COUNTIF(CRM_Hypospot!D3:D500,"TikTok Shop")</f>
        <v/>
      </c>
      <c r="C21" s="24">
        <f>IFERROR(B21/B5,0)</f>
        <v/>
      </c>
    </row>
    <row r="22" ht="24" customHeight="1">
      <c r="A22" s="7" t="inlineStr">
        <is>
          <t>Tokopedia</t>
        </is>
      </c>
      <c r="B22" s="18">
        <f>COUNTIF(CRM_Hypospot!D3:D500,"Tokopedia")</f>
        <v/>
      </c>
      <c r="C22" s="23">
        <f>IFERROR(B22/B5,0)</f>
        <v/>
      </c>
    </row>
    <row r="23" ht="24" customHeight="1">
      <c r="A23" s="3" t="inlineStr">
        <is>
          <t>WhatsApp Langsung</t>
        </is>
      </c>
      <c r="B23" s="16">
        <f>COUNTIF(CRM_Hypospot!D3:D500,"WhatsApp Langsung")</f>
        <v/>
      </c>
      <c r="C23" s="24">
        <f>IFERROR(B23/B5,0)</f>
        <v/>
      </c>
    </row>
    <row r="24" ht="24" customHeight="1">
      <c r="A24" s="7" t="inlineStr">
        <is>
          <t>Offline / B2B</t>
        </is>
      </c>
      <c r="B24" s="18">
        <f>COUNTIF(CRM_Hypospot!D3:D500,"Offline / B2B")</f>
        <v/>
      </c>
      <c r="C24" s="23">
        <f>IFERROR(B24/B5,0)</f>
        <v/>
      </c>
    </row>
  </sheetData>
  <mergeCells count="3">
    <mergeCell ref="A18:C18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F5E5A"/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 ht="36" customHeight="1">
      <c r="A1" s="1" t="inlineStr">
        <is>
          <t>PANDUAN PENGISIAN CRM HYPOSPOT</t>
        </is>
      </c>
    </row>
    <row r="2" ht="24" customHeight="1">
      <c r="A2" s="25" t="inlineStr">
        <is>
          <t>KOLOM</t>
        </is>
      </c>
      <c r="B2" s="25" t="inlineStr">
        <is>
          <t>PENJELASAN</t>
        </is>
      </c>
    </row>
    <row r="3" ht="24" customHeight="1">
      <c r="A3" s="26" t="inlineStr">
        <is>
          <t>Nama Customer</t>
        </is>
      </c>
      <c r="B3" s="27" t="inlineStr">
        <is>
          <t>Nama lengkap / username marketplace customer</t>
        </is>
      </c>
    </row>
    <row r="4" ht="24" customHeight="1">
      <c r="A4" s="28" t="inlineStr">
        <is>
          <t>No. WhatsApp</t>
        </is>
      </c>
      <c r="B4" s="29" t="inlineStr">
        <is>
          <t>Format: 08xxxxxxxxxx (tanpa +62)</t>
        </is>
      </c>
    </row>
    <row r="5" ht="24" customHeight="1">
      <c r="A5" s="26" t="inlineStr">
        <is>
          <t>Platform</t>
        </is>
      </c>
      <c r="B5" s="27" t="inlineStr">
        <is>
          <t>Pilih dari dropdown: Shopee / TikTok Shop / Tokopedia / WA / Offline</t>
        </is>
      </c>
    </row>
    <row r="6" ht="24" customHeight="1">
      <c r="A6" s="28" t="inlineStr">
        <is>
          <t>Status Prospek</t>
        </is>
      </c>
      <c r="B6" s="29" t="inlineStr">
        <is>
          <t>Hot = siap beli | Warm = tertarik | Cold = masih lihat | Follow-up = pernah beli | Cross-sell = siap produk lain | Lost = batal</t>
        </is>
      </c>
    </row>
    <row r="7" ht="24" customHeight="1">
      <c r="A7" s="26" t="inlineStr">
        <is>
          <t>Produk/Interest</t>
        </is>
      </c>
      <c r="B7" s="27" t="inlineStr">
        <is>
          <t>Produk yang ditanyakan atau sudah dibeli</t>
        </is>
      </c>
    </row>
    <row r="8" ht="24" customHeight="1">
      <c r="A8" s="28" t="inlineStr">
        <is>
          <t>Produk Cross-sell</t>
        </is>
      </c>
      <c r="B8" s="29" t="inlineStr">
        <is>
          <t>Rekomendasi produk tambahan yang relevan untuk ditawarkan</t>
        </is>
      </c>
    </row>
    <row r="9" ht="24" customHeight="1">
      <c r="A9" s="26" t="inlineStr">
        <is>
          <t>Tgl Masuk</t>
        </is>
      </c>
      <c r="B9" s="27" t="inlineStr">
        <is>
          <t>Tanggal pertama kali customer masuk/diinput (format DD/MM/YYYY)</t>
        </is>
      </c>
    </row>
    <row r="10" ht="24" customHeight="1">
      <c r="A10" s="28" t="inlineStr">
        <is>
          <t>Jadwal FU</t>
        </is>
      </c>
      <c r="B10" s="29" t="inlineStr">
        <is>
          <t>Tanggal rencana follow-up berikutnya</t>
        </is>
      </c>
    </row>
    <row r="11" ht="24" customHeight="1">
      <c r="A11" s="26" t="inlineStr">
        <is>
          <t>Prioritas FU</t>
        </is>
      </c>
      <c r="B11" s="27" t="inlineStr">
        <is>
          <t>Dropdown: Hari Ini / Besok / Minggu Ini / Bulan Ini / Sudah FU</t>
        </is>
      </c>
    </row>
    <row r="12" ht="24" customHeight="1">
      <c r="A12" s="28" t="inlineStr">
        <is>
          <t>Last Contact</t>
        </is>
      </c>
      <c r="B12" s="29" t="inlineStr">
        <is>
          <t>Tanggal terakhir kontak dengan customer</t>
        </is>
      </c>
    </row>
    <row r="13" ht="24" customHeight="1">
      <c r="A13" s="26" t="inlineStr">
        <is>
          <t>Frekuensi Beli</t>
        </is>
      </c>
      <c r="B13" s="27" t="inlineStr">
        <is>
          <t>Berapa kali customer sudah beli (contoh: 3x)</t>
        </is>
      </c>
    </row>
    <row r="14" ht="24" customHeight="1">
      <c r="A14" s="28" t="inlineStr">
        <is>
          <t>Est. Value (Rp)</t>
        </is>
      </c>
      <c r="B14" s="29" t="inlineStr">
        <is>
          <t>Estimasi nilai transaksi potensial dalam Rupiah</t>
        </is>
      </c>
    </row>
    <row r="15" ht="24" customHeight="1">
      <c r="A15" s="26" t="inlineStr">
        <is>
          <t>Catatan Admin</t>
        </is>
      </c>
      <c r="B15" s="27" t="inlineStr">
        <is>
          <t>Riwayat chat, keluhan, preferensi, info penting lainnya</t>
        </is>
      </c>
    </row>
    <row r="16" ht="24" customHeight="1">
      <c r="A16" s="28" t="inlineStr">
        <is>
          <t>Status Update</t>
        </is>
      </c>
      <c r="B16" s="29" t="inlineStr">
        <is>
          <t>Aktif = masih diproses | Selesai = deal/closed | Ditahan = pause | Dihapus = hapus dari pipeline</t>
        </is>
      </c>
    </row>
    <row r="17" ht="24" customHeight="1">
      <c r="A17" s="26" t="inlineStr"/>
      <c r="B17" s="27" t="inlineStr"/>
    </row>
    <row r="18" ht="24" customHeight="1">
      <c r="A18" s="25" t="inlineStr">
        <is>
          <t>WARNA STATUS</t>
        </is>
      </c>
      <c r="B18" s="25" t="inlineStr">
        <is>
          <t>ARTI</t>
        </is>
      </c>
    </row>
    <row r="19" ht="24" customHeight="1">
      <c r="A19" s="26" t="inlineStr">
        <is>
          <t>🔥 HOT (merah muda)</t>
        </is>
      </c>
      <c r="B19" s="27" t="inlineStr">
        <is>
          <t>Prospek panas — follow-up SEGERA, kemungkinan beli tinggi</t>
        </is>
      </c>
    </row>
    <row r="20" ht="24" customHeight="1">
      <c r="A20" s="28" t="inlineStr">
        <is>
          <t>WARM (kuning)</t>
        </is>
      </c>
      <c r="B20" s="29" t="inlineStr">
        <is>
          <t>Tertarik tapi belum siap — nurture dengan konten/penawaran</t>
        </is>
      </c>
    </row>
    <row r="21" ht="24" customHeight="1">
      <c r="A21" s="26" t="inlineStr">
        <is>
          <t>COLD (biru muda)</t>
        </is>
      </c>
      <c r="B21" s="27" t="inlineStr">
        <is>
          <t>Masih riset — simpan, pantau, jangan terlalu agresif</t>
        </is>
      </c>
    </row>
    <row r="22" ht="24" customHeight="1">
      <c r="A22" s="28" t="inlineStr">
        <is>
          <t>FOLLOW-UP (ungu)</t>
        </is>
      </c>
      <c r="B22" s="29" t="inlineStr">
        <is>
          <t>Sudah pernah beli — tawarkan repeat order atau promo</t>
        </is>
      </c>
    </row>
    <row r="23" ht="24" customHeight="1">
      <c r="A23" s="26" t="inlineStr">
        <is>
          <t>CROSS-SELL (hijau)</t>
        </is>
      </c>
      <c r="B23" s="27" t="inlineStr">
        <is>
          <t>Sudah beli 1 produk — tawarkan produk komplementer</t>
        </is>
      </c>
    </row>
    <row r="24" ht="24" customHeight="1">
      <c r="A24" s="28" t="inlineStr">
        <is>
          <t>LOST (merah)</t>
        </is>
      </c>
      <c r="B24" s="29" t="inlineStr">
        <is>
          <t>Tidak jadi beli — arsipkan, bisa di-revive nanti</t>
        </is>
      </c>
    </row>
    <row r="25" ht="24" customHeight="1">
      <c r="A25" s="26" t="inlineStr"/>
      <c r="B25" s="27" t="inlineStr"/>
    </row>
    <row r="26" ht="24" customHeight="1">
      <c r="A26" s="25" t="inlineStr">
        <is>
          <t>TIPS ADMIN</t>
        </is>
      </c>
      <c r="B26" s="25" t="inlineStr"/>
    </row>
    <row r="27" ht="24" customHeight="1">
      <c r="A27" s="26" t="inlineStr">
        <is>
          <t>Update rutin</t>
        </is>
      </c>
      <c r="B27" s="27" t="inlineStr">
        <is>
          <t>Isi setiap ada interaksi dengan customer, minimal 1x sehari</t>
        </is>
      </c>
    </row>
    <row r="28" ht="24" customHeight="1">
      <c r="A28" s="28" t="inlineStr">
        <is>
          <t>Prioritas FU</t>
        </is>
      </c>
      <c r="B28" s="29" t="inlineStr">
        <is>
          <t>Urut follow-up: Hari Ini → Besok → Minggu Ini → Bulan Ini</t>
        </is>
      </c>
    </row>
    <row r="29" ht="24" customHeight="1">
      <c r="A29" s="26" t="inlineStr">
        <is>
          <t>Cross-sell</t>
        </is>
      </c>
      <c r="B29" s="27" t="inlineStr">
        <is>
          <t>Lihat tab Dashboard untuk customer cross-sell terbanyak</t>
        </is>
      </c>
    </row>
    <row r="30" ht="24" customHeight="1">
      <c r="A30" s="28" t="inlineStr">
        <is>
          <t>Backup</t>
        </is>
      </c>
      <c r="B30" s="29" t="inlineStr">
        <is>
          <t>Export CSV setiap minggu sebagai backup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2026-06-19T15:22:56Z</dcterms:created>
  <dcterms:modified xmlns:dcterms="http://purl.org/dc/terms/" xmlns:xsi="http://www.w3.org/2001/XMLSchema-instance" xsi:type="dcterms:W3CDTF">2026-06-19T15:22:56Z</dcterms:modified>
</cp:coreProperties>
</file>